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G:\.shortcut-targets-by-id\1IjdBlkvbzvulV1OciwAz4Fgn473aLYbx\Gra mózg\Materiały do gry\Robocze\Folder roboczy Pawła\"/>
    </mc:Choice>
  </mc:AlternateContent>
  <xr:revisionPtr revIDLastSave="0" documentId="13_ncr:1_{15A38C60-B43F-432E-95B4-D7F037044D2F}" xr6:coauthVersionLast="47" xr6:coauthVersionMax="47" xr10:uidLastSave="{00000000-0000-0000-0000-000000000000}"/>
  <bookViews>
    <workbookView xWindow="-120" yWindow="-120" windowWidth="29040" windowHeight="15720" xr2:uid="{153B8582-D1D6-401C-84AC-0D021EE9774E}"/>
  </bookViews>
  <sheets>
    <sheet name="Arkusz1" sheetId="1" r:id="rId1"/>
    <sheet name="Arkusz2" sheetId="2" r:id="rId2"/>
    <sheet name="Arkusz3" sheetId="3" r:id="rId3"/>
    <sheet name="Arkusz1 (2)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4" l="1"/>
  <c r="A5" i="4"/>
  <c r="A7" i="4" s="1"/>
  <c r="C28" i="2" l="1"/>
  <c r="C27" i="2"/>
  <c r="C26" i="2"/>
  <c r="C25" i="2"/>
  <c r="C24" i="2"/>
  <c r="F23" i="2"/>
  <c r="G23" i="2"/>
  <c r="H23" i="2"/>
  <c r="H28" i="2" s="1"/>
  <c r="I23" i="2"/>
  <c r="I26" i="2" s="1"/>
  <c r="D24" i="2"/>
  <c r="E24" i="2"/>
  <c r="F24" i="2"/>
  <c r="G24" i="2"/>
  <c r="H24" i="2"/>
  <c r="I24" i="2"/>
  <c r="D25" i="2"/>
  <c r="E25" i="2"/>
  <c r="F25" i="2"/>
  <c r="G25" i="2"/>
  <c r="H25" i="2"/>
  <c r="I25" i="2"/>
  <c r="D26" i="2"/>
  <c r="E26" i="2"/>
  <c r="F26" i="2"/>
  <c r="G26" i="2"/>
  <c r="H26" i="2"/>
  <c r="D27" i="2"/>
  <c r="E27" i="2"/>
  <c r="F27" i="2"/>
  <c r="G27" i="2"/>
  <c r="H27" i="2"/>
  <c r="I27" i="2"/>
  <c r="D28" i="2"/>
  <c r="E28" i="2"/>
  <c r="F28" i="2"/>
  <c r="G28" i="2"/>
  <c r="C29" i="2"/>
  <c r="D29" i="2"/>
  <c r="E29" i="2"/>
  <c r="F29" i="2"/>
  <c r="G29" i="2"/>
  <c r="H29" i="2"/>
  <c r="I29" i="2"/>
  <c r="B25" i="2"/>
  <c r="B26" i="2"/>
  <c r="B27" i="2"/>
  <c r="B28" i="2"/>
  <c r="B29" i="2"/>
  <c r="B24" i="2"/>
  <c r="C23" i="2"/>
  <c r="D23" i="2"/>
  <c r="E23" i="2"/>
  <c r="B23" i="2"/>
  <c r="I28" i="2" l="1"/>
</calcChain>
</file>

<file path=xl/sharedStrings.xml><?xml version="1.0" encoding="utf-8"?>
<sst xmlns="http://schemas.openxmlformats.org/spreadsheetml/2006/main" count="46" uniqueCount="19">
  <si>
    <t>Zespół</t>
  </si>
  <si>
    <t>Kwota</t>
  </si>
  <si>
    <t>Czas minął!</t>
  </si>
  <si>
    <t>Blue Accelerator</t>
  </si>
  <si>
    <t>Unilever</t>
  </si>
  <si>
    <t>Google</t>
  </si>
  <si>
    <t>inPost</t>
  </si>
  <si>
    <t>Heinz</t>
  </si>
  <si>
    <t>Dochód</t>
  </si>
  <si>
    <t>Runda 1</t>
  </si>
  <si>
    <t>Runda 2</t>
  </si>
  <si>
    <t>Runda 3</t>
  </si>
  <si>
    <t>Runda 4</t>
  </si>
  <si>
    <t>Runda 5</t>
  </si>
  <si>
    <t>Runda 6</t>
  </si>
  <si>
    <t>Runda 7</t>
  </si>
  <si>
    <t>Efektywność zespołu</t>
  </si>
  <si>
    <t>Start</t>
  </si>
  <si>
    <t>Czas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</si>
</sst>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\ [$zł-415]_-;\-* #,##0\ [$zł-415]_-;_-* &quot;-&quot;??\ [$zł-415]_-;_-@_-"/>
    <numFmt numFmtId="165" formatCode="#,##0_ ;\-#,##0\ "/>
  </numFmts>
  <fonts count="9" x14ac:knownFonts="1"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sz val="16"/>
      <color rgb="FF000000"/>
      <name val="Calibri"/>
      <family val="2"/>
      <charset val="238"/>
    </font>
    <font>
      <sz val="26"/>
      <color rgb="FFFF000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Border="1"/>
    <xf numFmtId="0" fontId="0" fillId="2" borderId="4" xfId="0" applyFill="1" applyBorder="1"/>
    <xf numFmtId="0" fontId="0" fillId="4" borderId="4" xfId="0" applyFill="1" applyBorder="1"/>
    <xf numFmtId="0" fontId="0" fillId="6" borderId="4" xfId="0" applyFill="1" applyBorder="1"/>
    <xf numFmtId="0" fontId="0" fillId="5" borderId="4" xfId="0" applyFill="1" applyBorder="1"/>
    <xf numFmtId="0" fontId="0" fillId="3" borderId="6" xfId="0" applyFill="1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164" fontId="0" fillId="0" borderId="18" xfId="0" applyNumberFormat="1" applyBorder="1"/>
    <xf numFmtId="0" fontId="0" fillId="3" borderId="17" xfId="0" applyFill="1" applyBorder="1"/>
    <xf numFmtId="164" fontId="0" fillId="0" borderId="20" xfId="0" applyNumberFormat="1" applyBorder="1"/>
    <xf numFmtId="0" fontId="0" fillId="2" borderId="17" xfId="0" applyFill="1" applyBorder="1"/>
    <xf numFmtId="0" fontId="0" fillId="0" borderId="5" xfId="0" applyBorder="1" applyAlignment="1">
      <alignment horizontal="center"/>
    </xf>
    <xf numFmtId="164" fontId="6" fillId="0" borderId="0" xfId="0" applyNumberFormat="1" applyFont="1" applyBorder="1"/>
    <xf numFmtId="164" fontId="6" fillId="0" borderId="7" xfId="0" applyNumberFormat="1" applyFont="1" applyBorder="1"/>
    <xf numFmtId="165" fontId="6" fillId="0" borderId="0" xfId="0" applyNumberFormat="1" applyFont="1" applyBorder="1"/>
    <xf numFmtId="165" fontId="6" fillId="0" borderId="7" xfId="0" applyNumberFormat="1" applyFont="1" applyBorder="1"/>
    <xf numFmtId="165" fontId="6" fillId="0" borderId="5" xfId="0" applyNumberFormat="1" applyFont="1" applyBorder="1"/>
    <xf numFmtId="165" fontId="6" fillId="0" borderId="8" xfId="0" applyNumberFormat="1" applyFont="1" applyBorder="1"/>
    <xf numFmtId="164" fontId="6" fillId="0" borderId="5" xfId="0" applyNumberFormat="1" applyFont="1" applyBorder="1"/>
    <xf numFmtId="164" fontId="6" fillId="0" borderId="8" xfId="0" applyNumberFormat="1" applyFont="1" applyBorder="1"/>
    <xf numFmtId="0" fontId="0" fillId="6" borderId="17" xfId="0" applyFill="1" applyBorder="1"/>
    <xf numFmtId="164" fontId="6" fillId="0" borderId="0" xfId="0" applyNumberFormat="1" applyFont="1"/>
    <xf numFmtId="9" fontId="6" fillId="0" borderId="0" xfId="1" applyFont="1"/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0" fontId="0" fillId="5" borderId="17" xfId="0" applyFill="1" applyBorder="1"/>
    <xf numFmtId="0" fontId="0" fillId="4" borderId="19" xfId="0" applyFill="1" applyBorder="1"/>
  </cellXfs>
  <cellStyles count="2">
    <cellStyle name="Normalny" xfId="0" builtinId="0"/>
    <cellStyle name="Procentowy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Licytacja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Arkusz1!$O$1</c:f>
              <c:strCache>
                <c:ptCount val="1"/>
                <c:pt idx="0">
                  <c:v>Kwota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4271-4B55-A657-5FBCB148807F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4271-4B55-A657-5FBCB148807F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4-4271-4B55-A657-5FBCB148807F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4271-4B55-A657-5FBCB148807F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6-4271-4B55-A657-5FBCB148807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Arkusz1!$N$2:$N$6</c:f>
              <c:strCache>
                <c:ptCount val="5"/>
                <c:pt idx="0">
                  <c:v>Google</c:v>
                </c:pt>
                <c:pt idx="1">
                  <c:v>Blue Accelerator</c:v>
                </c:pt>
                <c:pt idx="2">
                  <c:v>Unilever</c:v>
                </c:pt>
                <c:pt idx="3">
                  <c:v>Heinz</c:v>
                </c:pt>
                <c:pt idx="4">
                  <c:v>inPost</c:v>
                </c:pt>
              </c:strCache>
            </c:strRef>
          </c:cat>
          <c:val>
            <c:numRef>
              <c:f>Arkusz1!$O$2:$O$6</c:f>
              <c:numCache>
                <c:formatCode>_-* #\ ##0\ [$zł-415]_-;\-* #\ ##0\ [$zł-415]_-;_-* "-"??\ [$zł-415]_-;_-@_-</c:formatCode>
                <c:ptCount val="5"/>
                <c:pt idx="0">
                  <c:v>900</c:v>
                </c:pt>
                <c:pt idx="1">
                  <c:v>500</c:v>
                </c:pt>
                <c:pt idx="2">
                  <c:v>500</c:v>
                </c:pt>
                <c:pt idx="3">
                  <c:v>300</c:v>
                </c:pt>
                <c:pt idx="4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71-4B55-A657-5FBCB148807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026975903"/>
        <c:axId val="1032777679"/>
        <c:axId val="0"/>
      </c:bar3DChart>
      <c:catAx>
        <c:axId val="1026975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32777679"/>
        <c:crosses val="autoZero"/>
        <c:auto val="1"/>
        <c:lblAlgn val="ctr"/>
        <c:lblOffset val="100"/>
        <c:noMultiLvlLbl val="0"/>
      </c:catAx>
      <c:valAx>
        <c:axId val="103277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[$zł-415]_-;\-* #\ ##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26975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Dochód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Arkusz2!$A$18</c:f>
              <c:strCache>
                <c:ptCount val="1"/>
                <c:pt idx="0">
                  <c:v>Heinz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multiLvlStrRef>
              <c:f>Arkusz2!$B$16:$I$17</c:f>
              <c:multiLvlStrCache>
                <c:ptCount val="8"/>
                <c:lvl>
                  <c:pt idx="0">
                    <c:v>Start</c:v>
                  </c:pt>
                  <c:pt idx="1">
                    <c:v>Runda 1</c:v>
                  </c:pt>
                  <c:pt idx="2">
                    <c:v>Runda 2</c:v>
                  </c:pt>
                  <c:pt idx="3">
                    <c:v>Runda 3</c:v>
                  </c:pt>
                  <c:pt idx="4">
                    <c:v>Runda 4</c:v>
                  </c:pt>
                  <c:pt idx="5">
                    <c:v>Runda 5</c:v>
                  </c:pt>
                  <c:pt idx="6">
                    <c:v>Runda 6</c:v>
                  </c:pt>
                  <c:pt idx="7">
                    <c:v>Runda 7</c:v>
                  </c:pt>
                </c:lvl>
                <c:lvl>
                  <c:pt idx="0">
                    <c:v>Dochód</c:v>
                  </c:pt>
                </c:lvl>
              </c:multiLvlStrCache>
            </c:multiLvlStrRef>
          </c:cat>
          <c:val>
            <c:numRef>
              <c:f>Arkusz2!$B$18:$I$18</c:f>
              <c:numCache>
                <c:formatCode>_-* #\ ##0\ [$zł-415]_-;\-* #\ ##0\ [$zł-415]_-;_-* "-"??\ [$zł-415]_-;_-@_-</c:formatCode>
                <c:ptCount val="8"/>
                <c:pt idx="0">
                  <c:v>100</c:v>
                </c:pt>
                <c:pt idx="1">
                  <c:v>2500</c:v>
                </c:pt>
                <c:pt idx="2">
                  <c:v>2500</c:v>
                </c:pt>
                <c:pt idx="3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63-45C0-9E9E-807DFCA7020E}"/>
            </c:ext>
          </c:extLst>
        </c:ser>
        <c:ser>
          <c:idx val="1"/>
          <c:order val="1"/>
          <c:tx>
            <c:strRef>
              <c:f>Arkusz2!$A$19</c:f>
              <c:strCache>
                <c:ptCount val="1"/>
                <c:pt idx="0">
                  <c:v>inPost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multiLvlStrRef>
              <c:f>Arkusz2!$B$16:$I$17</c:f>
              <c:multiLvlStrCache>
                <c:ptCount val="8"/>
                <c:lvl>
                  <c:pt idx="0">
                    <c:v>Start</c:v>
                  </c:pt>
                  <c:pt idx="1">
                    <c:v>Runda 1</c:v>
                  </c:pt>
                  <c:pt idx="2">
                    <c:v>Runda 2</c:v>
                  </c:pt>
                  <c:pt idx="3">
                    <c:v>Runda 3</c:v>
                  </c:pt>
                  <c:pt idx="4">
                    <c:v>Runda 4</c:v>
                  </c:pt>
                  <c:pt idx="5">
                    <c:v>Runda 5</c:v>
                  </c:pt>
                  <c:pt idx="6">
                    <c:v>Runda 6</c:v>
                  </c:pt>
                  <c:pt idx="7">
                    <c:v>Runda 7</c:v>
                  </c:pt>
                </c:lvl>
                <c:lvl>
                  <c:pt idx="0">
                    <c:v>Dochód</c:v>
                  </c:pt>
                </c:lvl>
              </c:multiLvlStrCache>
            </c:multiLvlStrRef>
          </c:cat>
          <c:val>
            <c:numRef>
              <c:f>Arkusz2!$B$19:$I$19</c:f>
              <c:numCache>
                <c:formatCode>_-* #\ ##0\ [$zł-415]_-;\-* #\ ##0\ [$zł-415]_-;_-* "-"??\ [$zł-415]_-;_-@_-</c:formatCode>
                <c:ptCount val="8"/>
                <c:pt idx="0">
                  <c:v>100</c:v>
                </c:pt>
                <c:pt idx="1">
                  <c:v>500</c:v>
                </c:pt>
                <c:pt idx="2">
                  <c:v>2000</c:v>
                </c:pt>
                <c:pt idx="3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63-45C0-9E9E-807DFCA7020E}"/>
            </c:ext>
          </c:extLst>
        </c:ser>
        <c:ser>
          <c:idx val="2"/>
          <c:order val="2"/>
          <c:tx>
            <c:strRef>
              <c:f>Arkusz2!$A$20</c:f>
              <c:strCache>
                <c:ptCount val="1"/>
                <c:pt idx="0">
                  <c:v>Blue Accelerator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multiLvlStrRef>
              <c:f>Arkusz2!$B$16:$I$17</c:f>
              <c:multiLvlStrCache>
                <c:ptCount val="8"/>
                <c:lvl>
                  <c:pt idx="0">
                    <c:v>Start</c:v>
                  </c:pt>
                  <c:pt idx="1">
                    <c:v>Runda 1</c:v>
                  </c:pt>
                  <c:pt idx="2">
                    <c:v>Runda 2</c:v>
                  </c:pt>
                  <c:pt idx="3">
                    <c:v>Runda 3</c:v>
                  </c:pt>
                  <c:pt idx="4">
                    <c:v>Runda 4</c:v>
                  </c:pt>
                  <c:pt idx="5">
                    <c:v>Runda 5</c:v>
                  </c:pt>
                  <c:pt idx="6">
                    <c:v>Runda 6</c:v>
                  </c:pt>
                  <c:pt idx="7">
                    <c:v>Runda 7</c:v>
                  </c:pt>
                </c:lvl>
                <c:lvl>
                  <c:pt idx="0">
                    <c:v>Dochód</c:v>
                  </c:pt>
                </c:lvl>
              </c:multiLvlStrCache>
            </c:multiLvlStrRef>
          </c:cat>
          <c:val>
            <c:numRef>
              <c:f>Arkusz2!$B$20:$I$20</c:f>
              <c:numCache>
                <c:formatCode>_-* #\ ##0\ [$zł-415]_-;\-* #\ ##0\ [$zł-415]_-;_-* "-"??\ [$zł-415]_-;_-@_-</c:formatCode>
                <c:ptCount val="8"/>
                <c:pt idx="0">
                  <c:v>100</c:v>
                </c:pt>
                <c:pt idx="1">
                  <c:v>300</c:v>
                </c:pt>
                <c:pt idx="2">
                  <c:v>3000</c:v>
                </c:pt>
                <c:pt idx="3">
                  <c:v>5700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63-45C0-9E9E-807DFCA7020E}"/>
            </c:ext>
          </c:extLst>
        </c:ser>
        <c:ser>
          <c:idx val="3"/>
          <c:order val="3"/>
          <c:tx>
            <c:strRef>
              <c:f>Arkusz2!$A$21</c:f>
              <c:strCache>
                <c:ptCount val="1"/>
                <c:pt idx="0">
                  <c:v>Unilever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multiLvlStrRef>
              <c:f>Arkusz2!$B$16:$I$17</c:f>
              <c:multiLvlStrCache>
                <c:ptCount val="8"/>
                <c:lvl>
                  <c:pt idx="0">
                    <c:v>Start</c:v>
                  </c:pt>
                  <c:pt idx="1">
                    <c:v>Runda 1</c:v>
                  </c:pt>
                  <c:pt idx="2">
                    <c:v>Runda 2</c:v>
                  </c:pt>
                  <c:pt idx="3">
                    <c:v>Runda 3</c:v>
                  </c:pt>
                  <c:pt idx="4">
                    <c:v>Runda 4</c:v>
                  </c:pt>
                  <c:pt idx="5">
                    <c:v>Runda 5</c:v>
                  </c:pt>
                  <c:pt idx="6">
                    <c:v>Runda 6</c:v>
                  </c:pt>
                  <c:pt idx="7">
                    <c:v>Runda 7</c:v>
                  </c:pt>
                </c:lvl>
                <c:lvl>
                  <c:pt idx="0">
                    <c:v>Dochód</c:v>
                  </c:pt>
                </c:lvl>
              </c:multiLvlStrCache>
            </c:multiLvlStrRef>
          </c:cat>
          <c:val>
            <c:numRef>
              <c:f>Arkusz2!$B$21:$I$21</c:f>
              <c:numCache>
                <c:formatCode>_-* #\ ##0\ [$zł-415]_-;\-* #\ ##0\ [$zł-415]_-;_-* "-"??\ [$zł-415]_-;_-@_-</c:formatCode>
                <c:ptCount val="8"/>
                <c:pt idx="0">
                  <c:v>100</c:v>
                </c:pt>
                <c:pt idx="1">
                  <c:v>100</c:v>
                </c:pt>
                <c:pt idx="2">
                  <c:v>1500</c:v>
                </c:pt>
                <c:pt idx="3">
                  <c:v>2900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63-45C0-9E9E-807DFCA7020E}"/>
            </c:ext>
          </c:extLst>
        </c:ser>
        <c:ser>
          <c:idx val="4"/>
          <c:order val="4"/>
          <c:tx>
            <c:strRef>
              <c:f>Arkusz2!$A$22</c:f>
              <c:strCache>
                <c:ptCount val="1"/>
                <c:pt idx="0">
                  <c:v>Google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multiLvlStrRef>
              <c:f>Arkusz2!$B$16:$I$17</c:f>
              <c:multiLvlStrCache>
                <c:ptCount val="8"/>
                <c:lvl>
                  <c:pt idx="0">
                    <c:v>Start</c:v>
                  </c:pt>
                  <c:pt idx="1">
                    <c:v>Runda 1</c:v>
                  </c:pt>
                  <c:pt idx="2">
                    <c:v>Runda 2</c:v>
                  </c:pt>
                  <c:pt idx="3">
                    <c:v>Runda 3</c:v>
                  </c:pt>
                  <c:pt idx="4">
                    <c:v>Runda 4</c:v>
                  </c:pt>
                  <c:pt idx="5">
                    <c:v>Runda 5</c:v>
                  </c:pt>
                  <c:pt idx="6">
                    <c:v>Runda 6</c:v>
                  </c:pt>
                  <c:pt idx="7">
                    <c:v>Runda 7</c:v>
                  </c:pt>
                </c:lvl>
                <c:lvl>
                  <c:pt idx="0">
                    <c:v>Dochód</c:v>
                  </c:pt>
                </c:lvl>
              </c:multiLvlStrCache>
            </c:multiLvlStrRef>
          </c:cat>
          <c:val>
            <c:numRef>
              <c:f>Arkusz2!$B$22:$I$22</c:f>
              <c:numCache>
                <c:formatCode>_-* #\ ##0\ [$zł-415]_-;\-* #\ ##0\ [$zł-415]_-;_-* "-"??\ [$zł-415]_-;_-@_-</c:formatCode>
                <c:ptCount val="8"/>
                <c:pt idx="0">
                  <c:v>100</c:v>
                </c:pt>
                <c:pt idx="1">
                  <c:v>150</c:v>
                </c:pt>
                <c:pt idx="2">
                  <c:v>2800</c:v>
                </c:pt>
                <c:pt idx="3">
                  <c:v>5450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63-45C0-9E9E-807DFCA70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609679"/>
        <c:axId val="358620079"/>
      </c:lineChart>
      <c:catAx>
        <c:axId val="358609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58620079"/>
        <c:crosses val="autoZero"/>
        <c:auto val="1"/>
        <c:lblAlgn val="ctr"/>
        <c:lblOffset val="100"/>
        <c:noMultiLvlLbl val="0"/>
      </c:catAx>
      <c:valAx>
        <c:axId val="358620079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\ [$zł-415]_-;\-* #\ ##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58609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Efektywność zespołu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Arkusz2!$K$18</c:f>
              <c:strCache>
                <c:ptCount val="1"/>
                <c:pt idx="0">
                  <c:v>Heinz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multiLvlStrRef>
              <c:f>Arkusz2!$L$16:$S$17</c:f>
              <c:multiLvlStrCache>
                <c:ptCount val="8"/>
                <c:lvl>
                  <c:pt idx="0">
                    <c:v>Start</c:v>
                  </c:pt>
                  <c:pt idx="1">
                    <c:v>Runda 1</c:v>
                  </c:pt>
                  <c:pt idx="2">
                    <c:v>Runda 2</c:v>
                  </c:pt>
                  <c:pt idx="3">
                    <c:v>Runda 3</c:v>
                  </c:pt>
                  <c:pt idx="4">
                    <c:v>Runda 4</c:v>
                  </c:pt>
                  <c:pt idx="5">
                    <c:v>Runda 5</c:v>
                  </c:pt>
                  <c:pt idx="6">
                    <c:v>Runda 6</c:v>
                  </c:pt>
                  <c:pt idx="7">
                    <c:v>Runda 7</c:v>
                  </c:pt>
                </c:lvl>
                <c:lvl>
                  <c:pt idx="0">
                    <c:v>Efektywność zespołu</c:v>
                  </c:pt>
                </c:lvl>
              </c:multiLvlStrCache>
            </c:multiLvlStrRef>
          </c:cat>
          <c:val>
            <c:numRef>
              <c:f>Arkusz2!$L$18:$S$18</c:f>
              <c:numCache>
                <c:formatCode>#\ ##0_ ;\-#\ ##0\ </c:formatCode>
                <c:ptCount val="8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F4-4474-80BC-15521DC04475}"/>
            </c:ext>
          </c:extLst>
        </c:ser>
        <c:ser>
          <c:idx val="1"/>
          <c:order val="1"/>
          <c:tx>
            <c:strRef>
              <c:f>Arkusz2!$K$19</c:f>
              <c:strCache>
                <c:ptCount val="1"/>
                <c:pt idx="0">
                  <c:v>inPost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multiLvlStrRef>
              <c:f>Arkusz2!$L$16:$S$17</c:f>
              <c:multiLvlStrCache>
                <c:ptCount val="8"/>
                <c:lvl>
                  <c:pt idx="0">
                    <c:v>Start</c:v>
                  </c:pt>
                  <c:pt idx="1">
                    <c:v>Runda 1</c:v>
                  </c:pt>
                  <c:pt idx="2">
                    <c:v>Runda 2</c:v>
                  </c:pt>
                  <c:pt idx="3">
                    <c:v>Runda 3</c:v>
                  </c:pt>
                  <c:pt idx="4">
                    <c:v>Runda 4</c:v>
                  </c:pt>
                  <c:pt idx="5">
                    <c:v>Runda 5</c:v>
                  </c:pt>
                  <c:pt idx="6">
                    <c:v>Runda 6</c:v>
                  </c:pt>
                  <c:pt idx="7">
                    <c:v>Runda 7</c:v>
                  </c:pt>
                </c:lvl>
                <c:lvl>
                  <c:pt idx="0">
                    <c:v>Efektywność zespołu</c:v>
                  </c:pt>
                </c:lvl>
              </c:multiLvlStrCache>
            </c:multiLvlStrRef>
          </c:cat>
          <c:val>
            <c:numRef>
              <c:f>Arkusz2!$L$19:$S$19</c:f>
              <c:numCache>
                <c:formatCode>#\ ##0_ ;\-#\ ##0\ </c:formatCode>
                <c:ptCount val="8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F4-4474-80BC-15521DC04475}"/>
            </c:ext>
          </c:extLst>
        </c:ser>
        <c:ser>
          <c:idx val="2"/>
          <c:order val="2"/>
          <c:tx>
            <c:strRef>
              <c:f>Arkusz2!$K$20</c:f>
              <c:strCache>
                <c:ptCount val="1"/>
                <c:pt idx="0">
                  <c:v>Blue Accelerator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multiLvlStrRef>
              <c:f>Arkusz2!$L$16:$S$17</c:f>
              <c:multiLvlStrCache>
                <c:ptCount val="8"/>
                <c:lvl>
                  <c:pt idx="0">
                    <c:v>Start</c:v>
                  </c:pt>
                  <c:pt idx="1">
                    <c:v>Runda 1</c:v>
                  </c:pt>
                  <c:pt idx="2">
                    <c:v>Runda 2</c:v>
                  </c:pt>
                  <c:pt idx="3">
                    <c:v>Runda 3</c:v>
                  </c:pt>
                  <c:pt idx="4">
                    <c:v>Runda 4</c:v>
                  </c:pt>
                  <c:pt idx="5">
                    <c:v>Runda 5</c:v>
                  </c:pt>
                  <c:pt idx="6">
                    <c:v>Runda 6</c:v>
                  </c:pt>
                  <c:pt idx="7">
                    <c:v>Runda 7</c:v>
                  </c:pt>
                </c:lvl>
                <c:lvl>
                  <c:pt idx="0">
                    <c:v>Efektywność zespołu</c:v>
                  </c:pt>
                </c:lvl>
              </c:multiLvlStrCache>
            </c:multiLvlStrRef>
          </c:cat>
          <c:val>
            <c:numRef>
              <c:f>Arkusz2!$L$20:$S$20</c:f>
              <c:numCache>
                <c:formatCode>#\ ##0_ ;\-#\ ##0\ </c:formatCode>
                <c:ptCount val="8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F4-4474-80BC-15521DC04475}"/>
            </c:ext>
          </c:extLst>
        </c:ser>
        <c:ser>
          <c:idx val="3"/>
          <c:order val="3"/>
          <c:tx>
            <c:strRef>
              <c:f>Arkusz2!$K$21</c:f>
              <c:strCache>
                <c:ptCount val="1"/>
                <c:pt idx="0">
                  <c:v>Unilever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multiLvlStrRef>
              <c:f>Arkusz2!$L$16:$S$17</c:f>
              <c:multiLvlStrCache>
                <c:ptCount val="8"/>
                <c:lvl>
                  <c:pt idx="0">
                    <c:v>Start</c:v>
                  </c:pt>
                  <c:pt idx="1">
                    <c:v>Runda 1</c:v>
                  </c:pt>
                  <c:pt idx="2">
                    <c:v>Runda 2</c:v>
                  </c:pt>
                  <c:pt idx="3">
                    <c:v>Runda 3</c:v>
                  </c:pt>
                  <c:pt idx="4">
                    <c:v>Runda 4</c:v>
                  </c:pt>
                  <c:pt idx="5">
                    <c:v>Runda 5</c:v>
                  </c:pt>
                  <c:pt idx="6">
                    <c:v>Runda 6</c:v>
                  </c:pt>
                  <c:pt idx="7">
                    <c:v>Runda 7</c:v>
                  </c:pt>
                </c:lvl>
                <c:lvl>
                  <c:pt idx="0">
                    <c:v>Efektywność zespołu</c:v>
                  </c:pt>
                </c:lvl>
              </c:multiLvlStrCache>
            </c:multiLvlStrRef>
          </c:cat>
          <c:val>
            <c:numRef>
              <c:f>Arkusz2!$L$21:$S$21</c:f>
              <c:numCache>
                <c:formatCode>#\ ##0_ ;\-#\ ##0\ </c:formatCode>
                <c:ptCount val="8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F4-4474-80BC-15521DC04475}"/>
            </c:ext>
          </c:extLst>
        </c:ser>
        <c:ser>
          <c:idx val="4"/>
          <c:order val="4"/>
          <c:tx>
            <c:strRef>
              <c:f>Arkusz2!$K$22</c:f>
              <c:strCache>
                <c:ptCount val="1"/>
                <c:pt idx="0">
                  <c:v>Google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multiLvlStrRef>
              <c:f>Arkusz2!$L$16:$S$17</c:f>
              <c:multiLvlStrCache>
                <c:ptCount val="8"/>
                <c:lvl>
                  <c:pt idx="0">
                    <c:v>Start</c:v>
                  </c:pt>
                  <c:pt idx="1">
                    <c:v>Runda 1</c:v>
                  </c:pt>
                  <c:pt idx="2">
                    <c:v>Runda 2</c:v>
                  </c:pt>
                  <c:pt idx="3">
                    <c:v>Runda 3</c:v>
                  </c:pt>
                  <c:pt idx="4">
                    <c:v>Runda 4</c:v>
                  </c:pt>
                  <c:pt idx="5">
                    <c:v>Runda 5</c:v>
                  </c:pt>
                  <c:pt idx="6">
                    <c:v>Runda 6</c:v>
                  </c:pt>
                  <c:pt idx="7">
                    <c:v>Runda 7</c:v>
                  </c:pt>
                </c:lvl>
                <c:lvl>
                  <c:pt idx="0">
                    <c:v>Efektywność zespołu</c:v>
                  </c:pt>
                </c:lvl>
              </c:multiLvlStrCache>
            </c:multiLvlStrRef>
          </c:cat>
          <c:val>
            <c:numRef>
              <c:f>Arkusz2!$L$22:$S$22</c:f>
              <c:numCache>
                <c:formatCode>#\ ##0_ ;\-#\ ##0\ </c:formatCode>
                <c:ptCount val="8"/>
                <c:pt idx="0">
                  <c:v>9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F4-4474-80BC-15521DC04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7071935"/>
        <c:axId val="637071519"/>
      </c:lineChart>
      <c:catAx>
        <c:axId val="637071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37071519"/>
        <c:crosses val="autoZero"/>
        <c:auto val="1"/>
        <c:lblAlgn val="ctr"/>
        <c:lblOffset val="100"/>
        <c:noMultiLvlLbl val="0"/>
      </c:catAx>
      <c:valAx>
        <c:axId val="637071519"/>
        <c:scaling>
          <c:orientation val="minMax"/>
          <c:min val="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_ ;\-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37071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Lbls>
            <c:spPr>
              <a:solidFill>
                <a:sysClr val="window" lastClr="FFFFFF"/>
              </a:solidFill>
              <a:ln>
                <a:solidFill>
                  <a:srgbClr val="4472C4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multiLvlStrRef>
              <c:f>Arkusz2!$A$24:$A$28</c:f>
            </c:multiLvlStrRef>
          </c:cat>
          <c:val>
            <c:numRef>
              <c:f>Arkusz2!$E$24:$E$28</c:f>
            </c:numRef>
          </c:val>
          <c:extLst>
            <c:ext xmlns:c16="http://schemas.microsoft.com/office/drawing/2014/chart" uri="{C3380CC4-5D6E-409C-BE32-E72D297353CC}">
              <c16:uniqueId val="{00000000-9DD8-4715-AF1D-743299E1B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Timer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F1-4AB5-AF5A-B3621052ECA3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F1-4AB5-AF5A-B3621052ECA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</c:ext>
            </c:extLst>
          </c:dLbls>
          <c:val>
            <c:numRef>
              <c:f>'Arkusz1 (2)'!$A$5:$A$6</c:f>
              <c:numCache>
                <c:formatCode>0</c:formatCode>
                <c:ptCount val="2"/>
                <c:pt idx="0">
                  <c:v>18.000000338070095</c:v>
                </c:pt>
                <c:pt idx="1">
                  <c:v>11.999999661929905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F1-4AB5-AF5A-B3621052ECA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TIMER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1111111111111109E-2"/>
          <c:y val="0.3244907407407408"/>
          <c:w val="0.93888888888888888"/>
          <c:h val="0.6714577865266842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297F-4964-A0C9-60A9531B415A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297F-4964-A0C9-60A9531B415A}"/>
              </c:ext>
            </c:extLst>
          </c:dPt>
          <c:dLbls>
            <c:delete val="1"/>
          </c:dLbls>
          <c:val>
            <c:numRef>
              <c:f>'Arkusz1 (2)'!$A$5:$A$6</c:f>
              <c:numCache>
                <c:formatCode>0</c:formatCode>
                <c:ptCount val="2"/>
                <c:pt idx="0">
                  <c:v>18.000000338070095</c:v>
                </c:pt>
                <c:pt idx="1">
                  <c:v>11.999999661929905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7F-4964-A0C9-60A9531B415A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19049</xdr:rowOff>
    </xdr:from>
    <xdr:to>
      <xdr:col>12</xdr:col>
      <xdr:colOff>381000</xdr:colOff>
      <xdr:row>23</xdr:row>
      <xdr:rowOff>184354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20</xdr:row>
          <xdr:rowOff>152400</xdr:rowOff>
        </xdr:from>
        <xdr:to>
          <xdr:col>13</xdr:col>
          <xdr:colOff>876300</xdr:colOff>
          <xdr:row>23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l-PL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990600</xdr:colOff>
          <xdr:row>20</xdr:row>
          <xdr:rowOff>146050</xdr:rowOff>
        </xdr:from>
        <xdr:to>
          <xdr:col>14</xdr:col>
          <xdr:colOff>774700</xdr:colOff>
          <xdr:row>23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pl-PL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0</xdr:row>
      <xdr:rowOff>21431</xdr:rowOff>
    </xdr:from>
    <xdr:to>
      <xdr:col>8</xdr:col>
      <xdr:colOff>603250</xdr:colOff>
      <xdr:row>14</xdr:row>
      <xdr:rowOff>97631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7939</xdr:colOff>
      <xdr:row>0</xdr:row>
      <xdr:rowOff>21431</xdr:rowOff>
    </xdr:from>
    <xdr:to>
      <xdr:col>18</xdr:col>
      <xdr:colOff>587375</xdr:colOff>
      <xdr:row>14</xdr:row>
      <xdr:rowOff>97631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47625</xdr:colOff>
      <xdr:row>22</xdr:row>
      <xdr:rowOff>180180</xdr:rowOff>
    </xdr:from>
    <xdr:to>
      <xdr:col>16</xdr:col>
      <xdr:colOff>515938</xdr:colOff>
      <xdr:row>37</xdr:row>
      <xdr:rowOff>65880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120650</xdr:rowOff>
        </xdr:from>
        <xdr:to>
          <xdr:col>2</xdr:col>
          <xdr:colOff>123100</xdr:colOff>
          <xdr:row>5</xdr:row>
          <xdr:rowOff>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357B8E1-ED29-4C4B-BB63-20E43AE216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158750</xdr:colOff>
      <xdr:row>0</xdr:row>
      <xdr:rowOff>36512</xdr:rowOff>
    </xdr:from>
    <xdr:to>
      <xdr:col>9</xdr:col>
      <xdr:colOff>463550</xdr:colOff>
      <xdr:row>14</xdr:row>
      <xdr:rowOff>99162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965868F4-B0D4-4C66-8B75-4306A13276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25400</xdr:rowOff>
        </xdr:from>
        <xdr:to>
          <xdr:col>2</xdr:col>
          <xdr:colOff>129450</xdr:colOff>
          <xdr:row>2</xdr:row>
          <xdr:rowOff>89100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820FE90-478D-4E02-B525-D1AE22ED0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485775</xdr:colOff>
      <xdr:row>0</xdr:row>
      <xdr:rowOff>39687</xdr:rowOff>
    </xdr:from>
    <xdr:to>
      <xdr:col>17</xdr:col>
      <xdr:colOff>180975</xdr:colOff>
      <xdr:row>14</xdr:row>
      <xdr:rowOff>109537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FC4D987C-2292-4F46-ADAA-A095D581B1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Zeszy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kusz1"/>
    </sheetNames>
    <definedNames>
      <definedName name="StartTimerWithProgressBar"/>
      <definedName name="StopTimer"/>
    </definedNames>
    <sheetDataSet>
      <sheetData sheetId="0">
        <row r="5">
          <cell r="A5">
            <v>23.076923296555385</v>
          </cell>
        </row>
        <row r="6">
          <cell r="A6">
            <v>6.9230767034446128</v>
          </cell>
        </row>
      </sheetData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4155F-1159-410C-A05A-D734872BF17C}">
  <sheetPr codeName="Arkusz1"/>
  <dimension ref="C1:O25"/>
  <sheetViews>
    <sheetView tabSelected="1" zoomScale="124" zoomScaleNormal="124" workbookViewId="0">
      <selection activeCell="N9" sqref="N9"/>
    </sheetView>
  </sheetViews>
  <sheetFormatPr defaultRowHeight="14.5" x14ac:dyDescent="0.35"/>
  <cols>
    <col min="14" max="14" width="15.7265625" customWidth="1"/>
    <col min="15" max="15" width="12.7265625" bestFit="1" customWidth="1"/>
  </cols>
  <sheetData>
    <row r="1" spans="3:15" ht="15" thickTop="1" x14ac:dyDescent="0.35">
      <c r="N1" s="8" t="s">
        <v>0</v>
      </c>
      <c r="O1" s="9" t="s">
        <v>1</v>
      </c>
    </row>
    <row r="2" spans="3:15" x14ac:dyDescent="0.35">
      <c r="N2" s="11" t="s">
        <v>5</v>
      </c>
      <c r="O2" s="10">
        <v>900</v>
      </c>
    </row>
    <row r="3" spans="3:15" x14ac:dyDescent="0.35">
      <c r="N3" s="23" t="s">
        <v>3</v>
      </c>
      <c r="O3" s="10">
        <v>500</v>
      </c>
    </row>
    <row r="4" spans="3:15" x14ac:dyDescent="0.35">
      <c r="C4">
        <v>26</v>
      </c>
      <c r="N4" s="42" t="s">
        <v>4</v>
      </c>
      <c r="O4" s="10">
        <v>500</v>
      </c>
    </row>
    <row r="5" spans="3:15" x14ac:dyDescent="0.35">
      <c r="N5" s="13" t="s">
        <v>7</v>
      </c>
      <c r="O5" s="10">
        <v>300</v>
      </c>
    </row>
    <row r="6" spans="3:15" ht="15" thickBot="1" x14ac:dyDescent="0.4">
      <c r="N6" s="43" t="s">
        <v>6</v>
      </c>
      <c r="O6" s="12">
        <v>200</v>
      </c>
    </row>
    <row r="7" spans="3:15" ht="15" thickTop="1" x14ac:dyDescent="0.35"/>
    <row r="12" spans="3:15" ht="15" customHeight="1" thickBot="1" x14ac:dyDescent="0.4"/>
    <row r="13" spans="3:15" ht="15" customHeight="1" thickTop="1" x14ac:dyDescent="0.35">
      <c r="N13" s="26">
        <v>0</v>
      </c>
      <c r="O13" s="27"/>
    </row>
    <row r="14" spans="3:15" ht="15" customHeight="1" x14ac:dyDescent="0.35">
      <c r="N14" s="28"/>
      <c r="O14" s="29"/>
    </row>
    <row r="15" spans="3:15" ht="15" customHeight="1" x14ac:dyDescent="0.35">
      <c r="N15" s="28"/>
      <c r="O15" s="29"/>
    </row>
    <row r="16" spans="3:15" x14ac:dyDescent="0.35">
      <c r="N16" s="28"/>
      <c r="O16" s="29"/>
    </row>
    <row r="17" spans="14:15" ht="15" customHeight="1" x14ac:dyDescent="0.35">
      <c r="N17" s="30" t="s">
        <v>2</v>
      </c>
      <c r="O17" s="31"/>
    </row>
    <row r="18" spans="14:15" ht="15" customHeight="1" x14ac:dyDescent="0.35">
      <c r="N18" s="30"/>
      <c r="O18" s="31"/>
    </row>
    <row r="19" spans="14:15" ht="15.75" customHeight="1" x14ac:dyDescent="0.35">
      <c r="N19" s="30"/>
      <c r="O19" s="31"/>
    </row>
    <row r="20" spans="14:15" x14ac:dyDescent="0.35">
      <c r="N20" s="30"/>
      <c r="O20" s="31"/>
    </row>
    <row r="21" spans="14:15" x14ac:dyDescent="0.35">
      <c r="N21" s="32"/>
      <c r="O21" s="33"/>
    </row>
    <row r="22" spans="14:15" x14ac:dyDescent="0.35">
      <c r="N22" s="32"/>
      <c r="O22" s="33"/>
    </row>
    <row r="23" spans="14:15" x14ac:dyDescent="0.35">
      <c r="N23" s="32"/>
      <c r="O23" s="33"/>
    </row>
    <row r="24" spans="14:15" ht="15" thickBot="1" x14ac:dyDescent="0.4">
      <c r="N24" s="34"/>
      <c r="O24" s="35"/>
    </row>
    <row r="25" spans="14:15" ht="15" thickTop="1" x14ac:dyDescent="0.35"/>
  </sheetData>
  <sortState xmlns:xlrd2="http://schemas.microsoft.com/office/spreadsheetml/2017/richdata2" ref="N2:O6">
    <sortCondition descending="1" ref="O1"/>
  </sortState>
  <mergeCells count="3">
    <mergeCell ref="N13:O16"/>
    <mergeCell ref="N17:O20"/>
    <mergeCell ref="N21:O2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CountdownAndSort">
                <anchor moveWithCells="1" sizeWithCells="1">
                  <from>
                    <xdr:col>13</xdr:col>
                    <xdr:colOff>76200</xdr:colOff>
                    <xdr:row>20</xdr:row>
                    <xdr:rowOff>152400</xdr:rowOff>
                  </from>
                  <to>
                    <xdr:col>13</xdr:col>
                    <xdr:colOff>876300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opTimer">
                <anchor moveWithCells="1" sizeWithCells="1">
                  <from>
                    <xdr:col>13</xdr:col>
                    <xdr:colOff>990600</xdr:colOff>
                    <xdr:row>20</xdr:row>
                    <xdr:rowOff>146050</xdr:rowOff>
                  </from>
                  <to>
                    <xdr:col>14</xdr:col>
                    <xdr:colOff>774700</xdr:colOff>
                    <xdr:row>23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3F375-5A63-4EBE-877A-081E8A877F08}">
  <sheetPr codeName="Arkusz2"/>
  <dimension ref="A16:S43"/>
  <sheetViews>
    <sheetView zoomScale="120" zoomScaleNormal="120" workbookViewId="0">
      <selection activeCell="F45" sqref="F45"/>
    </sheetView>
  </sheetViews>
  <sheetFormatPr defaultRowHeight="14.5" x14ac:dyDescent="0.35"/>
  <cols>
    <col min="1" max="1" width="15.7265625" bestFit="1" customWidth="1"/>
    <col min="3" max="3" width="12.1796875" bestFit="1" customWidth="1"/>
    <col min="10" max="10" width="3.1796875" customWidth="1"/>
    <col min="11" max="11" width="15.7265625" customWidth="1"/>
  </cols>
  <sheetData>
    <row r="16" spans="1:19" x14ac:dyDescent="0.35">
      <c r="A16" s="36" t="s">
        <v>0</v>
      </c>
      <c r="B16" s="38" t="s">
        <v>8</v>
      </c>
      <c r="C16" s="38"/>
      <c r="D16" s="38"/>
      <c r="E16" s="38"/>
      <c r="F16" s="38"/>
      <c r="G16" s="38"/>
      <c r="H16" s="38"/>
      <c r="I16" s="39"/>
      <c r="K16" s="36" t="s">
        <v>0</v>
      </c>
      <c r="L16" s="38" t="s">
        <v>16</v>
      </c>
      <c r="M16" s="38"/>
      <c r="N16" s="38"/>
      <c r="O16" s="38"/>
      <c r="P16" s="38"/>
      <c r="Q16" s="38"/>
      <c r="R16" s="38"/>
      <c r="S16" s="39"/>
    </row>
    <row r="17" spans="1:19" x14ac:dyDescent="0.35">
      <c r="A17" s="37"/>
      <c r="B17" s="1" t="s">
        <v>17</v>
      </c>
      <c r="C17" s="1" t="s">
        <v>9</v>
      </c>
      <c r="D17" s="2" t="s">
        <v>10</v>
      </c>
      <c r="E17" s="1" t="s">
        <v>11</v>
      </c>
      <c r="F17" s="2" t="s">
        <v>12</v>
      </c>
      <c r="G17" s="1" t="s">
        <v>13</v>
      </c>
      <c r="H17" s="2" t="s">
        <v>14</v>
      </c>
      <c r="I17" s="14" t="s">
        <v>15</v>
      </c>
      <c r="K17" s="37"/>
      <c r="L17" s="1" t="s">
        <v>17</v>
      </c>
      <c r="M17" s="1" t="s">
        <v>9</v>
      </c>
      <c r="N17" s="2" t="s">
        <v>10</v>
      </c>
      <c r="O17" s="1" t="s">
        <v>11</v>
      </c>
      <c r="P17" s="2" t="s">
        <v>12</v>
      </c>
      <c r="Q17" s="1" t="s">
        <v>13</v>
      </c>
      <c r="R17" s="2" t="s">
        <v>14</v>
      </c>
      <c r="S17" s="14" t="s">
        <v>15</v>
      </c>
    </row>
    <row r="18" spans="1:19" x14ac:dyDescent="0.35">
      <c r="A18" s="3" t="s">
        <v>7</v>
      </c>
      <c r="B18" s="15">
        <v>100</v>
      </c>
      <c r="C18" s="15">
        <v>2500</v>
      </c>
      <c r="D18" s="15">
        <v>2500</v>
      </c>
      <c r="E18" s="15">
        <v>2500</v>
      </c>
      <c r="F18" s="15"/>
      <c r="G18" s="15"/>
      <c r="H18" s="15"/>
      <c r="I18" s="21"/>
      <c r="K18" s="3" t="s">
        <v>7</v>
      </c>
      <c r="L18" s="17">
        <v>9</v>
      </c>
      <c r="M18" s="17">
        <v>9</v>
      </c>
      <c r="N18" s="17">
        <v>9</v>
      </c>
      <c r="O18" s="17">
        <v>10</v>
      </c>
      <c r="P18" s="17"/>
      <c r="Q18" s="17"/>
      <c r="R18" s="17"/>
      <c r="S18" s="19"/>
    </row>
    <row r="19" spans="1:19" x14ac:dyDescent="0.35">
      <c r="A19" s="4" t="s">
        <v>6</v>
      </c>
      <c r="B19" s="15">
        <v>100</v>
      </c>
      <c r="C19" s="15">
        <v>500</v>
      </c>
      <c r="D19" s="15">
        <v>2000</v>
      </c>
      <c r="E19" s="15">
        <v>3500</v>
      </c>
      <c r="F19" s="15"/>
      <c r="G19" s="15"/>
      <c r="H19" s="15"/>
      <c r="I19" s="21"/>
      <c r="K19" s="4" t="s">
        <v>6</v>
      </c>
      <c r="L19" s="17">
        <v>9</v>
      </c>
      <c r="M19" s="17">
        <v>10</v>
      </c>
      <c r="N19" s="17">
        <v>10</v>
      </c>
      <c r="O19" s="17">
        <v>11</v>
      </c>
      <c r="P19" s="17"/>
      <c r="Q19" s="17"/>
      <c r="R19" s="17"/>
      <c r="S19" s="19"/>
    </row>
    <row r="20" spans="1:19" x14ac:dyDescent="0.35">
      <c r="A20" s="5" t="s">
        <v>3</v>
      </c>
      <c r="B20" s="15">
        <v>100</v>
      </c>
      <c r="C20" s="15">
        <v>300</v>
      </c>
      <c r="D20" s="15">
        <v>3000</v>
      </c>
      <c r="E20" s="15">
        <v>5700</v>
      </c>
      <c r="F20" s="15"/>
      <c r="G20" s="15"/>
      <c r="H20" s="15"/>
      <c r="I20" s="21"/>
      <c r="K20" s="5" t="s">
        <v>3</v>
      </c>
      <c r="L20" s="17">
        <v>9</v>
      </c>
      <c r="M20" s="17">
        <v>9</v>
      </c>
      <c r="N20" s="17">
        <v>11</v>
      </c>
      <c r="O20" s="17">
        <v>12</v>
      </c>
      <c r="P20" s="17"/>
      <c r="Q20" s="17"/>
      <c r="R20" s="17"/>
      <c r="S20" s="19"/>
    </row>
    <row r="21" spans="1:19" x14ac:dyDescent="0.35">
      <c r="A21" s="6" t="s">
        <v>4</v>
      </c>
      <c r="B21" s="15">
        <v>100</v>
      </c>
      <c r="C21" s="15">
        <v>100</v>
      </c>
      <c r="D21" s="15">
        <v>1500</v>
      </c>
      <c r="E21" s="15">
        <v>2900</v>
      </c>
      <c r="F21" s="15"/>
      <c r="G21" s="15"/>
      <c r="H21" s="15"/>
      <c r="I21" s="21"/>
      <c r="K21" s="6" t="s">
        <v>4</v>
      </c>
      <c r="L21" s="17">
        <v>9</v>
      </c>
      <c r="M21" s="17">
        <v>9</v>
      </c>
      <c r="N21" s="17">
        <v>9</v>
      </c>
      <c r="O21" s="17">
        <v>12</v>
      </c>
      <c r="P21" s="17"/>
      <c r="Q21" s="17"/>
      <c r="R21" s="17"/>
      <c r="S21" s="19"/>
    </row>
    <row r="22" spans="1:19" x14ac:dyDescent="0.35">
      <c r="A22" s="7" t="s">
        <v>5</v>
      </c>
      <c r="B22" s="16">
        <v>100</v>
      </c>
      <c r="C22" s="16">
        <v>150</v>
      </c>
      <c r="D22" s="16">
        <v>2800</v>
      </c>
      <c r="E22" s="16">
        <v>5450</v>
      </c>
      <c r="F22" s="16"/>
      <c r="G22" s="16"/>
      <c r="H22" s="16"/>
      <c r="I22" s="22"/>
      <c r="K22" s="7" t="s">
        <v>5</v>
      </c>
      <c r="L22" s="18">
        <v>9</v>
      </c>
      <c r="M22" s="18">
        <v>9</v>
      </c>
      <c r="N22" s="18">
        <v>10</v>
      </c>
      <c r="O22" s="18">
        <v>11</v>
      </c>
      <c r="P22" s="18"/>
      <c r="Q22" s="18"/>
      <c r="R22" s="18"/>
      <c r="S22" s="20"/>
    </row>
    <row r="23" spans="1:19" hidden="1" x14ac:dyDescent="0.35">
      <c r="B23" s="24">
        <f>SUM(B18:B22)</f>
        <v>500</v>
      </c>
      <c r="C23" s="24">
        <f t="shared" ref="C23:I23" si="0">SUM(C18:C22)</f>
        <v>3550</v>
      </c>
      <c r="D23" s="24">
        <f t="shared" si="0"/>
        <v>11800</v>
      </c>
      <c r="E23" s="24">
        <f t="shared" si="0"/>
        <v>20050</v>
      </c>
      <c r="F23" s="24">
        <f t="shared" si="0"/>
        <v>0</v>
      </c>
      <c r="G23" s="24">
        <f t="shared" si="0"/>
        <v>0</v>
      </c>
      <c r="H23" s="24">
        <f t="shared" si="0"/>
        <v>0</v>
      </c>
      <c r="I23" s="24">
        <f t="shared" si="0"/>
        <v>0</v>
      </c>
    </row>
    <row r="24" spans="1:19" hidden="1" x14ac:dyDescent="0.35">
      <c r="A24" s="3" t="s">
        <v>7</v>
      </c>
      <c r="B24" s="25">
        <f>B18/B$23</f>
        <v>0.2</v>
      </c>
      <c r="C24" s="25">
        <f t="shared" ref="C24" si="1">C18/C$23</f>
        <v>0.70422535211267601</v>
      </c>
      <c r="D24" s="25">
        <f t="shared" ref="D24:I24" si="2">D18/D$23</f>
        <v>0.21186440677966101</v>
      </c>
      <c r="E24" s="25">
        <f t="shared" si="2"/>
        <v>0.12468827930174564</v>
      </c>
      <c r="F24" s="25" t="e">
        <f t="shared" si="2"/>
        <v>#DIV/0!</v>
      </c>
      <c r="G24" s="25" t="e">
        <f t="shared" si="2"/>
        <v>#DIV/0!</v>
      </c>
      <c r="H24" s="25" t="e">
        <f t="shared" si="2"/>
        <v>#DIV/0!</v>
      </c>
      <c r="I24" s="25" t="e">
        <f t="shared" si="2"/>
        <v>#DIV/0!</v>
      </c>
    </row>
    <row r="25" spans="1:19" hidden="1" x14ac:dyDescent="0.35">
      <c r="A25" s="4" t="s">
        <v>6</v>
      </c>
      <c r="B25" s="25">
        <f t="shared" ref="B25:I29" si="3">B19/B$23</f>
        <v>0.2</v>
      </c>
      <c r="C25" s="25">
        <f t="shared" ref="C25" si="4">C19/C$23</f>
        <v>0.14084507042253522</v>
      </c>
      <c r="D25" s="25">
        <f t="shared" si="3"/>
        <v>0.16949152542372881</v>
      </c>
      <c r="E25" s="25">
        <f t="shared" si="3"/>
        <v>0.1745635910224439</v>
      </c>
      <c r="F25" s="25" t="e">
        <f t="shared" si="3"/>
        <v>#DIV/0!</v>
      </c>
      <c r="G25" s="25" t="e">
        <f t="shared" si="3"/>
        <v>#DIV/0!</v>
      </c>
      <c r="H25" s="25" t="e">
        <f t="shared" si="3"/>
        <v>#DIV/0!</v>
      </c>
      <c r="I25" s="25" t="e">
        <f t="shared" si="3"/>
        <v>#DIV/0!</v>
      </c>
    </row>
    <row r="26" spans="1:19" hidden="1" x14ac:dyDescent="0.35">
      <c r="A26" s="5" t="s">
        <v>3</v>
      </c>
      <c r="B26" s="25">
        <f t="shared" si="3"/>
        <v>0.2</v>
      </c>
      <c r="C26" s="25">
        <f t="shared" ref="C26" si="5">C20/C$23</f>
        <v>8.4507042253521125E-2</v>
      </c>
      <c r="D26" s="25">
        <f t="shared" si="3"/>
        <v>0.25423728813559321</v>
      </c>
      <c r="E26" s="25">
        <f t="shared" si="3"/>
        <v>0.28428927680798005</v>
      </c>
      <c r="F26" s="25" t="e">
        <f t="shared" si="3"/>
        <v>#DIV/0!</v>
      </c>
      <c r="G26" s="25" t="e">
        <f t="shared" si="3"/>
        <v>#DIV/0!</v>
      </c>
      <c r="H26" s="25" t="e">
        <f t="shared" si="3"/>
        <v>#DIV/0!</v>
      </c>
      <c r="I26" s="25" t="e">
        <f t="shared" si="3"/>
        <v>#DIV/0!</v>
      </c>
    </row>
    <row r="27" spans="1:19" hidden="1" x14ac:dyDescent="0.35">
      <c r="A27" s="6" t="s">
        <v>4</v>
      </c>
      <c r="B27" s="25">
        <f t="shared" si="3"/>
        <v>0.2</v>
      </c>
      <c r="C27" s="25">
        <f t="shared" ref="C27" si="6">C21/C$23</f>
        <v>2.8169014084507043E-2</v>
      </c>
      <c r="D27" s="25">
        <f t="shared" si="3"/>
        <v>0.1271186440677966</v>
      </c>
      <c r="E27" s="25">
        <f t="shared" si="3"/>
        <v>0.14463840399002495</v>
      </c>
      <c r="F27" s="25" t="e">
        <f t="shared" si="3"/>
        <v>#DIV/0!</v>
      </c>
      <c r="G27" s="25" t="e">
        <f t="shared" si="3"/>
        <v>#DIV/0!</v>
      </c>
      <c r="H27" s="25" t="e">
        <f t="shared" si="3"/>
        <v>#DIV/0!</v>
      </c>
      <c r="I27" s="25" t="e">
        <f t="shared" si="3"/>
        <v>#DIV/0!</v>
      </c>
    </row>
    <row r="28" spans="1:19" hidden="1" x14ac:dyDescent="0.35">
      <c r="A28" s="7" t="s">
        <v>5</v>
      </c>
      <c r="B28" s="25">
        <f t="shared" si="3"/>
        <v>0.2</v>
      </c>
      <c r="C28" s="25">
        <f t="shared" ref="C28" si="7">C22/C$23</f>
        <v>4.2253521126760563E-2</v>
      </c>
      <c r="D28" s="25">
        <f t="shared" si="3"/>
        <v>0.23728813559322035</v>
      </c>
      <c r="E28" s="25">
        <f t="shared" si="3"/>
        <v>0.27182044887780549</v>
      </c>
      <c r="F28" s="25" t="e">
        <f t="shared" si="3"/>
        <v>#DIV/0!</v>
      </c>
      <c r="G28" s="25" t="e">
        <f t="shared" si="3"/>
        <v>#DIV/0!</v>
      </c>
      <c r="H28" s="25" t="e">
        <f t="shared" si="3"/>
        <v>#DIV/0!</v>
      </c>
      <c r="I28" s="25" t="e">
        <f t="shared" si="3"/>
        <v>#DIV/0!</v>
      </c>
    </row>
    <row r="29" spans="1:19" hidden="1" x14ac:dyDescent="0.35">
      <c r="B29" s="25">
        <f t="shared" si="3"/>
        <v>1</v>
      </c>
      <c r="C29" s="25">
        <f t="shared" si="3"/>
        <v>1</v>
      </c>
      <c r="D29" s="25">
        <f t="shared" si="3"/>
        <v>1</v>
      </c>
      <c r="E29" s="25">
        <f t="shared" si="3"/>
        <v>1</v>
      </c>
      <c r="F29" s="25" t="e">
        <f t="shared" si="3"/>
        <v>#DIV/0!</v>
      </c>
      <c r="G29" s="25" t="e">
        <f t="shared" si="3"/>
        <v>#DIV/0!</v>
      </c>
      <c r="H29" s="25" t="e">
        <f t="shared" si="3"/>
        <v>#DIV/0!</v>
      </c>
      <c r="I29" s="25" t="e">
        <f t="shared" si="3"/>
        <v>#DIV/0!</v>
      </c>
    </row>
    <row r="30" spans="1:19" hidden="1" x14ac:dyDescent="0.35"/>
    <row r="31" spans="1:19" hidden="1" x14ac:dyDescent="0.35"/>
    <row r="32" spans="1:19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  <row r="43" hidden="1" x14ac:dyDescent="0.35"/>
  </sheetData>
  <mergeCells count="4">
    <mergeCell ref="A16:A17"/>
    <mergeCell ref="B16:I16"/>
    <mergeCell ref="K16:K17"/>
    <mergeCell ref="L16:S16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CB320-28AD-435B-8FA2-A62395CEAC41}">
  <sheetPr codeName="Arkusz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3DC8D-857F-4810-8CF7-3E04682B5D9A}">
  <sheetPr codeName="Arkusz3"/>
  <dimension ref="A1:C37"/>
  <sheetViews>
    <sheetView workbookViewId="0">
      <selection activeCell="B8" sqref="B8"/>
    </sheetView>
  </sheetViews>
  <sheetFormatPr defaultRowHeight="14.5" x14ac:dyDescent="0.35"/>
  <cols>
    <col min="1" max="1" width="12" customWidth="1"/>
  </cols>
  <sheetData>
    <row r="1" spans="1:3" x14ac:dyDescent="0.35">
      <c r="A1" t="s">
        <v>18</v>
      </c>
    </row>
    <row r="2" spans="1:3" x14ac:dyDescent="0.35">
      <c r="A2" s="40">
        <v>11.999999661929905</v>
      </c>
    </row>
    <row r="3" spans="1:3" x14ac:dyDescent="0.35">
      <c r="A3" s="41" t="s">
        <v>18</v>
      </c>
    </row>
    <row r="4" spans="1:3" x14ac:dyDescent="0.35">
      <c r="A4" s="40">
        <v>30</v>
      </c>
    </row>
    <row r="5" spans="1:3" x14ac:dyDescent="0.35">
      <c r="A5" s="40">
        <f>A4-A2</f>
        <v>18.000000338070095</v>
      </c>
    </row>
    <row r="6" spans="1:3" x14ac:dyDescent="0.35">
      <c r="A6" s="40">
        <f>A2</f>
        <v>11.999999661929905</v>
      </c>
    </row>
    <row r="7" spans="1:3" x14ac:dyDescent="0.35">
      <c r="A7" s="40">
        <f>SUM(A5:A6)</f>
        <v>30</v>
      </c>
      <c r="C7" t="s">
        <v>2</v>
      </c>
    </row>
    <row r="8" spans="1:3" ht="15" customHeight="1" x14ac:dyDescent="0.35"/>
    <row r="31" spans="1:1" x14ac:dyDescent="0.35">
      <c r="A31">
        <v>30</v>
      </c>
    </row>
    <row r="32" spans="1:1" x14ac:dyDescent="0.35">
      <c r="A32">
        <v>60</v>
      </c>
    </row>
    <row r="33" spans="1:1" x14ac:dyDescent="0.35">
      <c r="A33">
        <v>120</v>
      </c>
    </row>
    <row r="34" spans="1:1" x14ac:dyDescent="0.35">
      <c r="A34">
        <v>180</v>
      </c>
    </row>
    <row r="35" spans="1:1" x14ac:dyDescent="0.35">
      <c r="A35">
        <v>240</v>
      </c>
    </row>
    <row r="36" spans="1:1" x14ac:dyDescent="0.35">
      <c r="A36">
        <v>300</v>
      </c>
    </row>
    <row r="37" spans="1:1" x14ac:dyDescent="0.35">
      <c r="A37">
        <v>600</v>
      </c>
    </row>
  </sheetData>
  <dataValidations count="1">
    <dataValidation type="list" operator="equal" allowBlank="1" showInputMessage="1" showErrorMessage="1" sqref="A4" xr:uid="{D55684F3-8E7F-4596-92EE-7187E861562A}">
      <formula1>$A$31:$A$37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1]!StopTimer">
                <anchor moveWithCells="1" sizeWithCells="1">
                  <from>
                    <xdr:col>1</xdr:col>
                    <xdr:colOff>12700</xdr:colOff>
                    <xdr:row>2</xdr:row>
                    <xdr:rowOff>120650</xdr:rowOff>
                  </from>
                  <to>
                    <xdr:col>2</xdr:col>
                    <xdr:colOff>120650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1]!StartTimerWithProgressBar">
                <anchor moveWithCells="1" sizeWithCells="1">
                  <from>
                    <xdr:col>1</xdr:col>
                    <xdr:colOff>19050</xdr:colOff>
                    <xdr:row>0</xdr:row>
                    <xdr:rowOff>25400</xdr:rowOff>
                  </from>
                  <to>
                    <xdr:col>2</xdr:col>
                    <xdr:colOff>127000</xdr:colOff>
                    <xdr:row>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Arkusz1</vt:lpstr>
      <vt:lpstr>Arkusz2</vt:lpstr>
      <vt:lpstr>Arkusz3</vt:lpstr>
      <vt:lpstr>Arkusz1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Paweł Książyk</dc:creator>
  <cp:lastModifiedBy>Paweł Książyk</cp:lastModifiedBy>
  <dcterms:created xsi:type="dcterms:W3CDTF">2025-03-28T07:25:41Z</dcterms:created>
  <dcterms:modified xsi:type="dcterms:W3CDTF">2025-04-02T08:39:36Z</dcterms:modified>
</cp:coreProperties>
</file>